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assumptionuniversity-my.sharepoint.com/personal/dhirachatchy_au_edu/Documents/2024_2/ITX3006/"/>
    </mc:Choice>
  </mc:AlternateContent>
  <xr:revisionPtr revIDLastSave="12" documentId="13_ncr:1_{99FA9647-E475-4DEC-BC8A-44BB7BCA6CB4}" xr6:coauthVersionLast="47" xr6:coauthVersionMax="47" xr10:uidLastSave="{EA251203-0052-4702-BEAC-DA4BD0C07586}"/>
  <bookViews>
    <workbookView xWindow="29580" yWindow="780" windowWidth="21600" windowHeight="11295" activeTab="4" xr2:uid="{00000000-000D-0000-FFFF-FFFF00000000}"/>
  </bookViews>
  <sheets>
    <sheet name="Course" sheetId="1" r:id="rId1"/>
    <sheet name="Section" sheetId="2" r:id="rId2"/>
    <sheet name="Teacher" sheetId="3" r:id="rId3"/>
    <sheet name="Slot" sheetId="4" r:id="rId4"/>
    <sheet name="Slot-Section" sheetId="5" r:id="rId5"/>
    <sheet name="Stud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/TTt6dmvzkQ+FHAKrD6QyGCHvh0f3/67MfisQ1ujXbo="/>
    </ext>
  </extLst>
</workbook>
</file>

<file path=xl/calcChain.xml><?xml version="1.0" encoding="utf-8"?>
<calcChain xmlns="http://schemas.openxmlformats.org/spreadsheetml/2006/main">
  <c r="H34" i="1" l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5" i="6"/>
  <c r="G4" i="6"/>
  <c r="G3" i="6"/>
  <c r="G2" i="6"/>
  <c r="J13" i="5"/>
  <c r="J12" i="5"/>
  <c r="J11" i="5"/>
  <c r="J10" i="5"/>
  <c r="J9" i="5"/>
  <c r="J8" i="5"/>
  <c r="J7" i="5"/>
  <c r="J6" i="5"/>
  <c r="J5" i="5"/>
  <c r="J4" i="5"/>
  <c r="J3" i="5"/>
  <c r="J2" i="5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4" i="3"/>
  <c r="G3" i="3"/>
  <c r="G2" i="3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<sst xmlns="http://schemas.openxmlformats.org/spreadsheetml/2006/main" count="271" uniqueCount="114">
  <si>
    <t>Code</t>
  </si>
  <si>
    <t>Title</t>
  </si>
  <si>
    <t>Credits</t>
  </si>
  <si>
    <t>BBA 1001</t>
  </si>
  <si>
    <t>Business Explorarion</t>
  </si>
  <si>
    <t>BBA 1002</t>
  </si>
  <si>
    <t>Microeconomics</t>
  </si>
  <si>
    <t>BBA 1101</t>
  </si>
  <si>
    <t>Seminar in Business I</t>
  </si>
  <si>
    <t>BBA 1102</t>
  </si>
  <si>
    <t>Data and Information Literacy</t>
  </si>
  <si>
    <t>BBA 1103</t>
  </si>
  <si>
    <t>BBA 1104</t>
  </si>
  <si>
    <t>Fundamental of Marketing</t>
  </si>
  <si>
    <t>BBA 2001</t>
  </si>
  <si>
    <t>Human Behavior</t>
  </si>
  <si>
    <t>BBA 2002</t>
  </si>
  <si>
    <t>Economic and Financial Environment</t>
  </si>
  <si>
    <t>BBA 2101</t>
  </si>
  <si>
    <t>Fundamentals of Managerial Accounting</t>
  </si>
  <si>
    <t>BBA 2102</t>
  </si>
  <si>
    <t>Organization and Management</t>
  </si>
  <si>
    <t>BBA 2103</t>
  </si>
  <si>
    <t>Corporate Fianace</t>
  </si>
  <si>
    <t>BBA 2104</t>
  </si>
  <si>
    <t>Global Strategy and Communication</t>
  </si>
  <si>
    <t>BBA 2105</t>
  </si>
  <si>
    <t>Operations and Supply Chain Management</t>
  </si>
  <si>
    <t>BBA 2106</t>
  </si>
  <si>
    <t>Seminar in Business II</t>
  </si>
  <si>
    <t>BG 1001</t>
  </si>
  <si>
    <t>English I</t>
  </si>
  <si>
    <t>BG 1002</t>
  </si>
  <si>
    <t>English II</t>
  </si>
  <si>
    <t>BG 2000</t>
  </si>
  <si>
    <t>English III</t>
  </si>
  <si>
    <t>BG 2001</t>
  </si>
  <si>
    <t>English IV</t>
  </si>
  <si>
    <t>ELE 1001</t>
  </si>
  <si>
    <t>Communicative English I</t>
  </si>
  <si>
    <t>ELE 1002</t>
  </si>
  <si>
    <t>Communicative English II</t>
  </si>
  <si>
    <t>ELE 2000</t>
  </si>
  <si>
    <t>Academic English</t>
  </si>
  <si>
    <t>ELE 2001</t>
  </si>
  <si>
    <t>Advance Academic English</t>
  </si>
  <si>
    <t>GE 1204</t>
  </si>
  <si>
    <t>Physical Education</t>
  </si>
  <si>
    <t>GE 1302</t>
  </si>
  <si>
    <t>Ecology and Sustainability</t>
  </si>
  <si>
    <t>GE 1403</t>
  </si>
  <si>
    <t>Communication in Thai</t>
  </si>
  <si>
    <t>GE 1405</t>
  </si>
  <si>
    <t>Thai Language and Culture</t>
  </si>
  <si>
    <t>GE 1408</t>
  </si>
  <si>
    <t>Thai Usage</t>
  </si>
  <si>
    <t>GE 2102</t>
  </si>
  <si>
    <t>Human Heritage and Globalization</t>
  </si>
  <si>
    <t>GE 2202</t>
  </si>
  <si>
    <t>Ethics</t>
  </si>
  <si>
    <t>LAW 1201</t>
  </si>
  <si>
    <t>Business Laws for Entrepreneurs</t>
  </si>
  <si>
    <t>MA 1200</t>
  </si>
  <si>
    <t>Mathemetics for Business</t>
  </si>
  <si>
    <t>SA 1001</t>
  </si>
  <si>
    <t>Business Statistics I</t>
  </si>
  <si>
    <t>SA 2001</t>
  </si>
  <si>
    <t>Business Statistics II</t>
  </si>
  <si>
    <t>COURSE_CODE</t>
  </si>
  <si>
    <t>SECTION</t>
  </si>
  <si>
    <t>SEAT</t>
  </si>
  <si>
    <t>INSTCODE</t>
  </si>
  <si>
    <t>SEMESTER</t>
  </si>
  <si>
    <t>YEAR</t>
  </si>
  <si>
    <t>FNAME</t>
  </si>
  <si>
    <t>LNAME</t>
  </si>
  <si>
    <t>PIYANAN</t>
  </si>
  <si>
    <t>SUWANMANA</t>
  </si>
  <si>
    <t>LUO</t>
  </si>
  <si>
    <t>YITING</t>
  </si>
  <si>
    <t>CHANIKARN</t>
  </si>
  <si>
    <t>TOSOMPARK</t>
  </si>
  <si>
    <t>SLOT_ID</t>
  </si>
  <si>
    <t>DAY</t>
  </si>
  <si>
    <t>TIME</t>
  </si>
  <si>
    <t>Mon</t>
  </si>
  <si>
    <t>9:00 - 10:30</t>
  </si>
  <si>
    <t>10:30 - 12:00</t>
  </si>
  <si>
    <t>12:00 - 13:30</t>
  </si>
  <si>
    <t>13:30 - 15:00</t>
  </si>
  <si>
    <t>15:00 - 16:30</t>
  </si>
  <si>
    <t>Tue</t>
  </si>
  <si>
    <t>Wed</t>
  </si>
  <si>
    <t>Thu</t>
  </si>
  <si>
    <t>Fri</t>
  </si>
  <si>
    <t>ROOM</t>
  </si>
  <si>
    <t>SR333</t>
  </si>
  <si>
    <t>SM206</t>
  </si>
  <si>
    <t>INSERT INTO course (code, title, credits) VALUES(</t>
  </si>
  <si>
    <t>INSERT INTO section(course_code,section,seat,instcode,semester,year) VALUES(</t>
  </si>
  <si>
    <t>STUDENT_ID</t>
  </si>
  <si>
    <t>A</t>
  </si>
  <si>
    <t>BB</t>
  </si>
  <si>
    <t>B</t>
  </si>
  <si>
    <t>CC</t>
  </si>
  <si>
    <t>C</t>
  </si>
  <si>
    <t>D</t>
  </si>
  <si>
    <t>DD</t>
  </si>
  <si>
    <t>EE</t>
  </si>
  <si>
    <t>INSERT INTO teacher (instcode, fname,lname) VALUES (</t>
  </si>
  <si>
    <t>INSERT INTO slot(slot_id,day,time_slot) VALUES (</t>
  </si>
  <si>
    <t>INSERT INTO student(student_id,fname, lname) VALUES (</t>
  </si>
  <si>
    <t>INSERT INTO slot_section(course_code,section,semester,year,slot_id,room) VALUES(</t>
  </si>
  <si>
    <t>Fundamental of Financial 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</si>
</sst>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H3" sqref="H3:H34"/>
    </sheetView>
  </sheetViews>
  <sheetFormatPr defaultColWidth="12.5703125" defaultRowHeight="15" customHeight="1" x14ac:dyDescent="0.25"/>
  <cols>
    <col min="1" max="1" width="12" customWidth="1"/>
    <col min="2" max="2" width="39.42578125" customWidth="1"/>
    <col min="3" max="26" width="8.5703125" customWidth="1"/>
  </cols>
  <sheetData>
    <row r="1" spans="1:8" x14ac:dyDescent="0.25">
      <c r="A1" s="2" t="s">
        <v>0</v>
      </c>
      <c r="B1" s="2" t="s">
        <v>1</v>
      </c>
      <c r="C1" s="2" t="s">
        <v>2</v>
      </c>
    </row>
    <row r="2" spans="1:8" x14ac:dyDescent="0.25">
      <c r="A2" s="1" t="s">
        <v>3</v>
      </c>
      <c r="B2" s="1" t="s">
        <v>4</v>
      </c>
      <c r="C2" s="1">
        <v>3</v>
      </c>
      <c r="F2" s="3" t="s">
        <v>98</v>
      </c>
      <c r="H2" t="str">
        <f>F2&amp;"'"&amp;A2&amp;"','"&amp;B2&amp;"',"&amp;C2&amp;");"</f>
        <v>INSERT INTO course (code, title, credits) VALUES('BBA 1001','Business Explorarion',3);</v>
      </c>
    </row>
    <row r="3" spans="1:8" x14ac:dyDescent="0.25">
      <c r="A3" s="1" t="s">
        <v>5</v>
      </c>
      <c r="B3" s="1" t="s">
        <v>6</v>
      </c>
      <c r="C3" s="1">
        <v>3</v>
      </c>
      <c r="F3" s="3" t="s">
        <v>98</v>
      </c>
      <c r="H3" t="str">
        <f t="shared" ref="H3:H34" si="0">F3&amp;"'"&amp;A3&amp;"','"&amp;B3&amp;"',"&amp;C3&amp;");"</f>
        <v>INSERT INTO course (code, title, credits) VALUES('BBA 1002','Microeconomics',3);</v>
      </c>
    </row>
    <row r="4" spans="1:8" x14ac:dyDescent="0.25">
      <c r="A4" s="1" t="s">
        <v>7</v>
      </c>
      <c r="B4" s="1" t="s">
        <v>8</v>
      </c>
      <c r="C4" s="1">
        <v>1</v>
      </c>
      <c r="F4" s="3" t="s">
        <v>98</v>
      </c>
      <c r="H4" t="str">
        <f t="shared" si="0"/>
        <v>INSERT INTO course (code, title, credits) VALUES('BBA 1101','Seminar in Business I',1);</v>
      </c>
    </row>
    <row r="5" spans="1:8" x14ac:dyDescent="0.25">
      <c r="A5" s="1" t="s">
        <v>9</v>
      </c>
      <c r="B5" s="1" t="s">
        <v>10</v>
      </c>
      <c r="C5" s="1">
        <v>3</v>
      </c>
      <c r="F5" s="3" t="s">
        <v>98</v>
      </c>
      <c r="H5" t="str">
        <f t="shared" si="0"/>
        <v>INSERT INTO course (code, title, credits) VALUES('BBA 1102','Data and Information Literacy',3);</v>
      </c>
    </row>
    <row r="6" spans="1:8" x14ac:dyDescent="0.25">
      <c r="A6" s="1" t="s">
        <v>11</v>
      </c>
      <c r="B6" s="6" t="s">
        <v>113</v>
      </c>
      <c r="C6" s="1">
        <v>3</v>
      </c>
      <c r="F6" s="3" t="s">
        <v>98</v>
      </c>
      <c r="H6" t="str">
        <f t="shared" si="0"/>
        <v>INSERT INTO course (code, title, credits) VALUES('BBA 1103','Fundamental of Financial Accounting',3);</v>
      </c>
    </row>
    <row r="7" spans="1:8" x14ac:dyDescent="0.25">
      <c r="A7" s="1" t="s">
        <v>12</v>
      </c>
      <c r="B7" s="1" t="s">
        <v>13</v>
      </c>
      <c r="C7" s="1">
        <v>3</v>
      </c>
      <c r="F7" s="3" t="s">
        <v>98</v>
      </c>
      <c r="H7" t="str">
        <f t="shared" si="0"/>
        <v>INSERT INTO course (code, title, credits) VALUES('BBA 1104','Fundamental of Marketing',3);</v>
      </c>
    </row>
    <row r="8" spans="1:8" x14ac:dyDescent="0.25">
      <c r="A8" s="1" t="s">
        <v>14</v>
      </c>
      <c r="B8" s="1" t="s">
        <v>15</v>
      </c>
      <c r="C8" s="1">
        <v>3</v>
      </c>
      <c r="F8" s="3" t="s">
        <v>98</v>
      </c>
      <c r="H8" t="str">
        <f t="shared" si="0"/>
        <v>INSERT INTO course (code, title, credits) VALUES('BBA 2001','Human Behavior',3);</v>
      </c>
    </row>
    <row r="9" spans="1:8" x14ac:dyDescent="0.25">
      <c r="A9" s="1" t="s">
        <v>16</v>
      </c>
      <c r="B9" s="1" t="s">
        <v>17</v>
      </c>
      <c r="C9" s="1">
        <v>3</v>
      </c>
      <c r="F9" s="3" t="s">
        <v>98</v>
      </c>
      <c r="H9" t="str">
        <f t="shared" si="0"/>
        <v>INSERT INTO course (code, title, credits) VALUES('BBA 2002','Economic and Financial Environment',3);</v>
      </c>
    </row>
    <row r="10" spans="1:8" x14ac:dyDescent="0.25">
      <c r="A10" s="1" t="s">
        <v>18</v>
      </c>
      <c r="B10" s="1" t="s">
        <v>19</v>
      </c>
      <c r="C10" s="1">
        <v>3</v>
      </c>
      <c r="F10" s="3" t="s">
        <v>98</v>
      </c>
      <c r="H10" t="str">
        <f t="shared" si="0"/>
        <v>INSERT INTO course (code, title, credits) VALUES('BBA 2101','Fundamentals of Managerial Accounting',3);</v>
      </c>
    </row>
    <row r="11" spans="1:8" x14ac:dyDescent="0.25">
      <c r="A11" s="1" t="s">
        <v>20</v>
      </c>
      <c r="B11" s="1" t="s">
        <v>21</v>
      </c>
      <c r="C11" s="1">
        <v>3</v>
      </c>
      <c r="F11" s="3" t="s">
        <v>98</v>
      </c>
      <c r="H11" t="str">
        <f t="shared" si="0"/>
        <v>INSERT INTO course (code, title, credits) VALUES('BBA 2102','Organization and Management',3);</v>
      </c>
    </row>
    <row r="12" spans="1:8" x14ac:dyDescent="0.25">
      <c r="A12" s="1" t="s">
        <v>22</v>
      </c>
      <c r="B12" s="1" t="s">
        <v>23</v>
      </c>
      <c r="C12" s="1">
        <v>3</v>
      </c>
      <c r="F12" s="3" t="s">
        <v>98</v>
      </c>
      <c r="H12" t="str">
        <f t="shared" si="0"/>
        <v>INSERT INTO course (code, title, credits) VALUES('BBA 2103','Corporate Fianace',3);</v>
      </c>
    </row>
    <row r="13" spans="1:8" x14ac:dyDescent="0.25">
      <c r="A13" s="1" t="s">
        <v>24</v>
      </c>
      <c r="B13" s="1" t="s">
        <v>25</v>
      </c>
      <c r="C13" s="1">
        <v>3</v>
      </c>
      <c r="F13" s="3" t="s">
        <v>98</v>
      </c>
      <c r="H13" t="str">
        <f t="shared" si="0"/>
        <v>INSERT INTO course (code, title, credits) VALUES('BBA 2104','Global Strategy and Communication',3);</v>
      </c>
    </row>
    <row r="14" spans="1:8" x14ac:dyDescent="0.25">
      <c r="A14" s="1" t="s">
        <v>26</v>
      </c>
      <c r="B14" s="1" t="s">
        <v>27</v>
      </c>
      <c r="C14" s="1">
        <v>3</v>
      </c>
      <c r="F14" s="3" t="s">
        <v>98</v>
      </c>
      <c r="H14" t="str">
        <f t="shared" si="0"/>
        <v>INSERT INTO course (code, title, credits) VALUES('BBA 2105','Operations and Supply Chain Management',3);</v>
      </c>
    </row>
    <row r="15" spans="1:8" x14ac:dyDescent="0.25">
      <c r="A15" s="1" t="s">
        <v>28</v>
      </c>
      <c r="B15" s="1" t="s">
        <v>29</v>
      </c>
      <c r="C15" s="1">
        <v>1</v>
      </c>
      <c r="F15" s="3" t="s">
        <v>98</v>
      </c>
      <c r="H15" t="str">
        <f t="shared" si="0"/>
        <v>INSERT INTO course (code, title, credits) VALUES('BBA 2106','Seminar in Business II',1);</v>
      </c>
    </row>
    <row r="16" spans="1:8" x14ac:dyDescent="0.25">
      <c r="A16" s="1" t="s">
        <v>30</v>
      </c>
      <c r="B16" s="1" t="s">
        <v>31</v>
      </c>
      <c r="C16" s="1">
        <v>3</v>
      </c>
      <c r="F16" s="3" t="s">
        <v>98</v>
      </c>
      <c r="H16" t="str">
        <f t="shared" si="0"/>
        <v>INSERT INTO course (code, title, credits) VALUES('BG 1001','English I',3);</v>
      </c>
    </row>
    <row r="17" spans="1:8" x14ac:dyDescent="0.25">
      <c r="A17" s="1" t="s">
        <v>32</v>
      </c>
      <c r="B17" s="1" t="s">
        <v>33</v>
      </c>
      <c r="C17" s="1">
        <v>3</v>
      </c>
      <c r="F17" s="3" t="s">
        <v>98</v>
      </c>
      <c r="H17" t="str">
        <f t="shared" si="0"/>
        <v>INSERT INTO course (code, title, credits) VALUES('BG 1002','English II',3);</v>
      </c>
    </row>
    <row r="18" spans="1:8" x14ac:dyDescent="0.25">
      <c r="A18" s="1" t="s">
        <v>34</v>
      </c>
      <c r="B18" s="1" t="s">
        <v>35</v>
      </c>
      <c r="C18" s="1">
        <v>3</v>
      </c>
      <c r="F18" s="3" t="s">
        <v>98</v>
      </c>
      <c r="H18" t="str">
        <f t="shared" si="0"/>
        <v>INSERT INTO course (code, title, credits) VALUES('BG 2000','English III',3);</v>
      </c>
    </row>
    <row r="19" spans="1:8" x14ac:dyDescent="0.25">
      <c r="A19" s="1" t="s">
        <v>36</v>
      </c>
      <c r="B19" s="1" t="s">
        <v>37</v>
      </c>
      <c r="C19" s="1">
        <v>3</v>
      </c>
      <c r="F19" s="3" t="s">
        <v>98</v>
      </c>
      <c r="H19" t="str">
        <f t="shared" si="0"/>
        <v>INSERT INTO course (code, title, credits) VALUES('BG 2001','English IV',3);</v>
      </c>
    </row>
    <row r="20" spans="1:8" x14ac:dyDescent="0.25">
      <c r="A20" s="1" t="s">
        <v>38</v>
      </c>
      <c r="B20" s="1" t="s">
        <v>39</v>
      </c>
      <c r="C20" s="1">
        <v>3</v>
      </c>
      <c r="F20" s="3" t="s">
        <v>98</v>
      </c>
      <c r="H20" t="str">
        <f t="shared" si="0"/>
        <v>INSERT INTO course (code, title, credits) VALUES('ELE 1001','Communicative English I',3);</v>
      </c>
    </row>
    <row r="21" spans="1:8" ht="15.75" customHeight="1" x14ac:dyDescent="0.25">
      <c r="A21" s="1" t="s">
        <v>40</v>
      </c>
      <c r="B21" s="1" t="s">
        <v>41</v>
      </c>
      <c r="C21" s="1">
        <v>3</v>
      </c>
      <c r="F21" s="3" t="s">
        <v>98</v>
      </c>
      <c r="H21" t="str">
        <f t="shared" si="0"/>
        <v>INSERT INTO course (code, title, credits) VALUES('ELE 1002','Communicative English II',3);</v>
      </c>
    </row>
    <row r="22" spans="1:8" ht="15.75" customHeight="1" x14ac:dyDescent="0.25">
      <c r="A22" s="1" t="s">
        <v>42</v>
      </c>
      <c r="B22" s="1" t="s">
        <v>43</v>
      </c>
      <c r="C22" s="1">
        <v>3</v>
      </c>
      <c r="F22" s="3" t="s">
        <v>98</v>
      </c>
      <c r="H22" t="str">
        <f t="shared" si="0"/>
        <v>INSERT INTO course (code, title, credits) VALUES('ELE 2000','Academic English',3);</v>
      </c>
    </row>
    <row r="23" spans="1:8" ht="15.75" customHeight="1" x14ac:dyDescent="0.25">
      <c r="A23" s="1" t="s">
        <v>44</v>
      </c>
      <c r="B23" s="1" t="s">
        <v>45</v>
      </c>
      <c r="C23" s="1">
        <v>3</v>
      </c>
      <c r="F23" s="3" t="s">
        <v>98</v>
      </c>
      <c r="H23" t="str">
        <f t="shared" si="0"/>
        <v>INSERT INTO course (code, title, credits) VALUES('ELE 2001','Advance Academic English',3);</v>
      </c>
    </row>
    <row r="24" spans="1:8" ht="15.75" customHeight="1" x14ac:dyDescent="0.25">
      <c r="A24" s="1" t="s">
        <v>46</v>
      </c>
      <c r="B24" s="1" t="s">
        <v>47</v>
      </c>
      <c r="C24" s="1">
        <v>1</v>
      </c>
      <c r="F24" s="3" t="s">
        <v>98</v>
      </c>
      <c r="H24" t="str">
        <f t="shared" si="0"/>
        <v>INSERT INTO course (code, title, credits) VALUES('GE 1204','Physical Education',1);</v>
      </c>
    </row>
    <row r="25" spans="1:8" ht="15.75" customHeight="1" x14ac:dyDescent="0.25">
      <c r="A25" s="1" t="s">
        <v>48</v>
      </c>
      <c r="B25" s="1" t="s">
        <v>49</v>
      </c>
      <c r="C25" s="1">
        <v>3</v>
      </c>
      <c r="F25" s="3" t="s">
        <v>98</v>
      </c>
      <c r="H25" t="str">
        <f t="shared" si="0"/>
        <v>INSERT INTO course (code, title, credits) VALUES('GE 1302','Ecology and Sustainability',3);</v>
      </c>
    </row>
    <row r="26" spans="1:8" ht="15.75" customHeight="1" x14ac:dyDescent="0.25">
      <c r="A26" s="1" t="s">
        <v>50</v>
      </c>
      <c r="B26" s="1" t="s">
        <v>51</v>
      </c>
      <c r="C26" s="1">
        <v>3</v>
      </c>
      <c r="F26" s="3" t="s">
        <v>98</v>
      </c>
      <c r="H26" t="str">
        <f t="shared" si="0"/>
        <v>INSERT INTO course (code, title, credits) VALUES('GE 1403','Communication in Thai',3);</v>
      </c>
    </row>
    <row r="27" spans="1:8" ht="15.75" customHeight="1" x14ac:dyDescent="0.25">
      <c r="A27" s="1" t="s">
        <v>52</v>
      </c>
      <c r="B27" s="1" t="s">
        <v>53</v>
      </c>
      <c r="C27" s="1">
        <v>3</v>
      </c>
      <c r="F27" s="3" t="s">
        <v>98</v>
      </c>
      <c r="H27" t="str">
        <f t="shared" si="0"/>
        <v>INSERT INTO course (code, title, credits) VALUES('GE 1405','Thai Language and Culture',3);</v>
      </c>
    </row>
    <row r="28" spans="1:8" ht="15.75" customHeight="1" x14ac:dyDescent="0.25">
      <c r="A28" s="1" t="s">
        <v>54</v>
      </c>
      <c r="B28" s="1" t="s">
        <v>55</v>
      </c>
      <c r="C28" s="1">
        <v>3</v>
      </c>
      <c r="F28" s="3" t="s">
        <v>98</v>
      </c>
      <c r="H28" t="str">
        <f t="shared" si="0"/>
        <v>INSERT INTO course (code, title, credits) VALUES('GE 1408','Thai Usage',3);</v>
      </c>
    </row>
    <row r="29" spans="1:8" ht="15.75" customHeight="1" x14ac:dyDescent="0.25">
      <c r="A29" s="1" t="s">
        <v>56</v>
      </c>
      <c r="B29" s="1" t="s">
        <v>57</v>
      </c>
      <c r="C29" s="1">
        <v>3</v>
      </c>
      <c r="F29" s="3" t="s">
        <v>98</v>
      </c>
      <c r="H29" t="str">
        <f t="shared" si="0"/>
        <v>INSERT INTO course (code, title, credits) VALUES('GE 2102','Human Heritage and Globalization',3);</v>
      </c>
    </row>
    <row r="30" spans="1:8" ht="15.75" customHeight="1" x14ac:dyDescent="0.25">
      <c r="A30" s="1" t="s">
        <v>58</v>
      </c>
      <c r="B30" s="1" t="s">
        <v>59</v>
      </c>
      <c r="C30" s="1">
        <v>3</v>
      </c>
      <c r="F30" s="3" t="s">
        <v>98</v>
      </c>
      <c r="H30" t="str">
        <f t="shared" si="0"/>
        <v>INSERT INTO course (code, title, credits) VALUES('GE 2202','Ethics',3);</v>
      </c>
    </row>
    <row r="31" spans="1:8" ht="15.75" customHeight="1" x14ac:dyDescent="0.25">
      <c r="A31" s="1" t="s">
        <v>60</v>
      </c>
      <c r="B31" s="1" t="s">
        <v>61</v>
      </c>
      <c r="C31" s="1">
        <v>3</v>
      </c>
      <c r="F31" s="3" t="s">
        <v>98</v>
      </c>
      <c r="H31" t="str">
        <f t="shared" si="0"/>
        <v>INSERT INTO course (code, title, credits) VALUES('LAW 1201','Business Laws for Entrepreneurs',3);</v>
      </c>
    </row>
    <row r="32" spans="1:8" ht="15.75" customHeight="1" x14ac:dyDescent="0.25">
      <c r="A32" s="1" t="s">
        <v>62</v>
      </c>
      <c r="B32" s="1" t="s">
        <v>63</v>
      </c>
      <c r="C32" s="1">
        <v>3</v>
      </c>
      <c r="F32" s="3" t="s">
        <v>98</v>
      </c>
      <c r="H32" t="str">
        <f t="shared" si="0"/>
        <v>INSERT INTO course (code, title, credits) VALUES('MA 1200','Mathemetics for Business',3);</v>
      </c>
    </row>
    <row r="33" spans="1:8" ht="15.75" customHeight="1" x14ac:dyDescent="0.25">
      <c r="A33" s="1" t="s">
        <v>64</v>
      </c>
      <c r="B33" s="1" t="s">
        <v>65</v>
      </c>
      <c r="C33" s="1">
        <v>2</v>
      </c>
      <c r="F33" s="3" t="s">
        <v>98</v>
      </c>
      <c r="H33" t="str">
        <f t="shared" si="0"/>
        <v>INSERT INTO course (code, title, credits) VALUES('SA 1001','Business Statistics I',2);</v>
      </c>
    </row>
    <row r="34" spans="1:8" ht="15.75" customHeight="1" x14ac:dyDescent="0.25">
      <c r="A34" s="1" t="s">
        <v>66</v>
      </c>
      <c r="B34" s="1" t="s">
        <v>67</v>
      </c>
      <c r="C34" s="1">
        <v>2</v>
      </c>
      <c r="F34" s="3" t="s">
        <v>98</v>
      </c>
      <c r="H34" t="str">
        <f t="shared" si="0"/>
        <v>INSERT INTO course (code, title, credits) VALUES('SA 2001','Business Statistics II',2);</v>
      </c>
    </row>
    <row r="35" spans="1:8" ht="15.75" customHeight="1" x14ac:dyDescent="0.25"/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K9" sqref="K2:K9"/>
    </sheetView>
  </sheetViews>
  <sheetFormatPr defaultColWidth="12.5703125" defaultRowHeight="15" customHeight="1" x14ac:dyDescent="0.25"/>
  <cols>
    <col min="1" max="1" width="15.140625" bestFit="1" customWidth="1"/>
    <col min="2" max="2" width="9.140625" bestFit="1" customWidth="1"/>
    <col min="3" max="3" width="8.5703125" customWidth="1"/>
    <col min="4" max="5" width="10.5703125" bestFit="1" customWidth="1"/>
    <col min="6" max="6" width="11.85546875" customWidth="1"/>
    <col min="7" max="26" width="8.5703125" customWidth="1"/>
  </cols>
  <sheetData>
    <row r="1" spans="1:1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</row>
    <row r="2" spans="1:11" x14ac:dyDescent="0.25">
      <c r="A2" s="6" t="s">
        <v>5</v>
      </c>
      <c r="B2" s="1">
        <v>401</v>
      </c>
      <c r="C2" s="1">
        <v>60</v>
      </c>
      <c r="D2" s="1">
        <v>420203</v>
      </c>
      <c r="E2" s="1">
        <v>2</v>
      </c>
      <c r="F2" s="1">
        <v>2024</v>
      </c>
      <c r="I2" s="4" t="s">
        <v>99</v>
      </c>
      <c r="K2" t="str">
        <f>I2&amp;"'"&amp;A2&amp;"','"&amp;B2&amp;"',"&amp;C2&amp;",'"&amp;D2&amp;"',"&amp;E2&amp;","&amp;F2&amp;");"</f>
        <v>INSERT INTO section(course_code,section,seat,instcode,semester,year) VALUES('BBA 1002','401',60,'420203',2,2024);</v>
      </c>
    </row>
    <row r="3" spans="1:11" x14ac:dyDescent="0.25">
      <c r="A3" s="6" t="s">
        <v>5</v>
      </c>
      <c r="B3" s="1">
        <v>402</v>
      </c>
      <c r="C3" s="1">
        <v>60</v>
      </c>
      <c r="D3" s="1">
        <v>420203</v>
      </c>
      <c r="E3" s="1">
        <v>2</v>
      </c>
      <c r="F3" s="1">
        <v>2024</v>
      </c>
      <c r="I3" s="4" t="s">
        <v>99</v>
      </c>
      <c r="K3" t="str">
        <f t="shared" ref="K3:K9" si="0">I3&amp;"'"&amp;A3&amp;"','"&amp;B3&amp;"',"&amp;C3&amp;",'"&amp;D3&amp;"',"&amp;E3&amp;","&amp;F3&amp;");"</f>
        <v>INSERT INTO section(course_code,section,seat,instcode,semester,year) VALUES('BBA 1002','402',60,'420203',2,2024);</v>
      </c>
    </row>
    <row r="4" spans="1:11" x14ac:dyDescent="0.25">
      <c r="A4" s="6" t="s">
        <v>5</v>
      </c>
      <c r="B4" s="1">
        <v>403</v>
      </c>
      <c r="C4" s="1">
        <v>60</v>
      </c>
      <c r="D4" s="1">
        <v>420203</v>
      </c>
      <c r="E4" s="1">
        <v>2</v>
      </c>
      <c r="F4" s="1">
        <v>2024</v>
      </c>
      <c r="I4" s="4" t="s">
        <v>99</v>
      </c>
      <c r="K4" t="str">
        <f t="shared" si="0"/>
        <v>INSERT INTO section(course_code,section,seat,instcode,semester,year) VALUES('BBA 1002','403',60,'420203',2,2024);</v>
      </c>
    </row>
    <row r="5" spans="1:11" x14ac:dyDescent="0.25">
      <c r="A5" s="6" t="s">
        <v>5</v>
      </c>
      <c r="B5" s="1">
        <v>404</v>
      </c>
      <c r="C5" s="1">
        <v>60</v>
      </c>
      <c r="D5" s="1">
        <v>420203</v>
      </c>
      <c r="E5" s="1">
        <v>2</v>
      </c>
      <c r="F5" s="1">
        <v>2024</v>
      </c>
      <c r="I5" s="4" t="s">
        <v>99</v>
      </c>
      <c r="K5" t="str">
        <f t="shared" si="0"/>
        <v>INSERT INTO section(course_code,section,seat,instcode,semester,year) VALUES('BBA 1002','404',60,'420203',2,2024);</v>
      </c>
    </row>
    <row r="6" spans="1:11" x14ac:dyDescent="0.25">
      <c r="A6" s="6" t="s">
        <v>5</v>
      </c>
      <c r="B6" s="1">
        <v>405</v>
      </c>
      <c r="C6" s="1">
        <v>60</v>
      </c>
      <c r="D6" s="1">
        <v>670021</v>
      </c>
      <c r="E6" s="1">
        <v>2</v>
      </c>
      <c r="F6" s="1">
        <v>2024</v>
      </c>
      <c r="I6" s="4" t="s">
        <v>99</v>
      </c>
      <c r="K6" t="str">
        <f t="shared" si="0"/>
        <v>INSERT INTO section(course_code,section,seat,instcode,semester,year) VALUES('BBA 1002','405',60,'670021',2,2024);</v>
      </c>
    </row>
    <row r="7" spans="1:11" x14ac:dyDescent="0.25">
      <c r="A7" s="6" t="s">
        <v>5</v>
      </c>
      <c r="B7" s="1">
        <v>406</v>
      </c>
      <c r="C7" s="1">
        <v>60</v>
      </c>
      <c r="D7" s="1">
        <v>670021</v>
      </c>
      <c r="E7" s="1">
        <v>2</v>
      </c>
      <c r="F7" s="1">
        <v>2024</v>
      </c>
      <c r="I7" s="4" t="s">
        <v>99</v>
      </c>
      <c r="K7" t="str">
        <f t="shared" si="0"/>
        <v>INSERT INTO section(course_code,section,seat,instcode,semester,year) VALUES('BBA 1002','406',60,'670021',2,2024);</v>
      </c>
    </row>
    <row r="8" spans="1:11" x14ac:dyDescent="0.25">
      <c r="A8" s="6" t="s">
        <v>5</v>
      </c>
      <c r="B8" s="1">
        <v>407</v>
      </c>
      <c r="C8" s="1">
        <v>60</v>
      </c>
      <c r="D8" s="1">
        <v>500082</v>
      </c>
      <c r="E8" s="1">
        <v>2</v>
      </c>
      <c r="F8" s="1">
        <v>2024</v>
      </c>
      <c r="I8" s="4" t="s">
        <v>99</v>
      </c>
      <c r="K8" t="str">
        <f t="shared" si="0"/>
        <v>INSERT INTO section(course_code,section,seat,instcode,semester,year) VALUES('BBA 1002','407',60,'500082',2,2024);</v>
      </c>
    </row>
    <row r="9" spans="1:11" x14ac:dyDescent="0.25">
      <c r="A9" s="6" t="s">
        <v>5</v>
      </c>
      <c r="B9" s="1">
        <v>408</v>
      </c>
      <c r="C9" s="1">
        <v>60</v>
      </c>
      <c r="D9" s="1">
        <v>500082</v>
      </c>
      <c r="E9" s="1">
        <v>2</v>
      </c>
      <c r="F9" s="1">
        <v>2024</v>
      </c>
      <c r="I9" s="4" t="s">
        <v>99</v>
      </c>
      <c r="K9" t="str">
        <f t="shared" si="0"/>
        <v>INSERT INTO section(course_code,section,seat,instcode,semester,year) VALUES('BBA 1002','408',60,'500082',2,2024);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4" sqref="G2:G4"/>
    </sheetView>
  </sheetViews>
  <sheetFormatPr defaultColWidth="12.5703125" defaultRowHeight="15" customHeight="1" x14ac:dyDescent="0.25"/>
  <cols>
    <col min="1" max="1" width="10.42578125" customWidth="1"/>
    <col min="2" max="2" width="12.140625" customWidth="1"/>
    <col min="3" max="3" width="12.85546875" customWidth="1"/>
    <col min="4" max="26" width="8.5703125" customWidth="1"/>
  </cols>
  <sheetData>
    <row r="1" spans="1:7" x14ac:dyDescent="0.25">
      <c r="A1" s="2" t="s">
        <v>71</v>
      </c>
      <c r="B1" s="2" t="s">
        <v>74</v>
      </c>
      <c r="C1" s="2" t="s">
        <v>75</v>
      </c>
    </row>
    <row r="2" spans="1:7" x14ac:dyDescent="0.25">
      <c r="A2" s="1">
        <v>420203</v>
      </c>
      <c r="B2" s="1" t="s">
        <v>76</v>
      </c>
      <c r="C2" s="1" t="s">
        <v>77</v>
      </c>
      <c r="E2" s="4" t="s">
        <v>109</v>
      </c>
      <c r="G2" t="str">
        <f>E2&amp;"'"&amp;A2&amp;"','"&amp;B2&amp;"','"&amp;C2&amp;"');"</f>
        <v>INSERT INTO teacher (instcode, fname,lname) VALUES ('420203','PIYANAN','SUWANMANA');</v>
      </c>
    </row>
    <row r="3" spans="1:7" x14ac:dyDescent="0.25">
      <c r="A3" s="1">
        <v>670021</v>
      </c>
      <c r="B3" s="1" t="s">
        <v>78</v>
      </c>
      <c r="C3" s="1" t="s">
        <v>79</v>
      </c>
      <c r="E3" s="4" t="s">
        <v>109</v>
      </c>
      <c r="G3" t="str">
        <f>E3&amp;"'"&amp;A3&amp;"','"&amp;B3&amp;"','"&amp;C3&amp;"');"</f>
        <v>INSERT INTO teacher (instcode, fname,lname) VALUES ('670021','LUO','YITING');</v>
      </c>
    </row>
    <row r="4" spans="1:7" x14ac:dyDescent="0.25">
      <c r="A4" s="1">
        <v>500082</v>
      </c>
      <c r="B4" s="1" t="s">
        <v>80</v>
      </c>
      <c r="C4" s="1" t="s">
        <v>81</v>
      </c>
      <c r="E4" s="4" t="s">
        <v>109</v>
      </c>
      <c r="G4" t="str">
        <f>E4&amp;"'"&amp;A4&amp;"','"&amp;B4&amp;"','"&amp;C4&amp;"');"</f>
        <v>INSERT INTO teacher (instcode, fname,lname) VALUES ('500082','CHANIKARN','TOSOMPARK');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H2" sqref="H2:H26"/>
    </sheetView>
  </sheetViews>
  <sheetFormatPr defaultColWidth="12.5703125" defaultRowHeight="15" customHeight="1" x14ac:dyDescent="0.25"/>
  <cols>
    <col min="1" max="2" width="8.5703125" customWidth="1"/>
    <col min="3" max="3" width="11.7109375" customWidth="1"/>
    <col min="4" max="26" width="8.5703125" customWidth="1"/>
  </cols>
  <sheetData>
    <row r="1" spans="1:8" x14ac:dyDescent="0.25">
      <c r="A1" s="2" t="s">
        <v>82</v>
      </c>
      <c r="B1" s="2" t="s">
        <v>83</v>
      </c>
      <c r="C1" s="2" t="s">
        <v>84</v>
      </c>
    </row>
    <row r="2" spans="1:8" x14ac:dyDescent="0.25">
      <c r="A2" s="1">
        <v>1</v>
      </c>
      <c r="B2" s="1" t="s">
        <v>85</v>
      </c>
      <c r="C2" s="1" t="s">
        <v>86</v>
      </c>
      <c r="F2" s="4" t="s">
        <v>110</v>
      </c>
      <c r="H2" t="str">
        <f>F2&amp;A2&amp;",'"&amp;B2&amp;"','"&amp;C2&amp;"');"</f>
        <v>INSERT INTO slot(slot_id,day,time_slot) VALUES (1,'Mon','9:00 - 10:30');</v>
      </c>
    </row>
    <row r="3" spans="1:8" x14ac:dyDescent="0.25">
      <c r="A3" s="1">
        <v>2</v>
      </c>
      <c r="B3" s="1" t="s">
        <v>85</v>
      </c>
      <c r="C3" s="1" t="s">
        <v>87</v>
      </c>
      <c r="F3" s="4" t="s">
        <v>110</v>
      </c>
      <c r="H3" t="str">
        <f t="shared" ref="H3:H26" si="0">F3&amp;A3&amp;",'"&amp;B3&amp;"','"&amp;C3&amp;"');"</f>
        <v>INSERT INTO slot(slot_id,day,time_slot) VALUES (2,'Mon','10:30 - 12:00');</v>
      </c>
    </row>
    <row r="4" spans="1:8" x14ac:dyDescent="0.25">
      <c r="A4" s="1">
        <v>3</v>
      </c>
      <c r="B4" s="1" t="s">
        <v>85</v>
      </c>
      <c r="C4" s="1" t="s">
        <v>88</v>
      </c>
      <c r="F4" s="4" t="s">
        <v>110</v>
      </c>
      <c r="H4" t="str">
        <f t="shared" si="0"/>
        <v>INSERT INTO slot(slot_id,day,time_slot) VALUES (3,'Mon','12:00 - 13:30');</v>
      </c>
    </row>
    <row r="5" spans="1:8" x14ac:dyDescent="0.25">
      <c r="A5" s="1">
        <v>4</v>
      </c>
      <c r="B5" s="1" t="s">
        <v>85</v>
      </c>
      <c r="C5" s="1" t="s">
        <v>89</v>
      </c>
      <c r="F5" s="4" t="s">
        <v>110</v>
      </c>
      <c r="H5" t="str">
        <f t="shared" si="0"/>
        <v>INSERT INTO slot(slot_id,day,time_slot) VALUES (4,'Mon','13:30 - 15:00');</v>
      </c>
    </row>
    <row r="6" spans="1:8" x14ac:dyDescent="0.25">
      <c r="A6" s="1">
        <v>5</v>
      </c>
      <c r="B6" s="1" t="s">
        <v>85</v>
      </c>
      <c r="C6" s="1" t="s">
        <v>90</v>
      </c>
      <c r="F6" s="4" t="s">
        <v>110</v>
      </c>
      <c r="H6" t="str">
        <f t="shared" si="0"/>
        <v>INSERT INTO slot(slot_id,day,time_slot) VALUES (5,'Mon','15:00 - 16:30');</v>
      </c>
    </row>
    <row r="7" spans="1:8" x14ac:dyDescent="0.25">
      <c r="A7" s="1">
        <v>6</v>
      </c>
      <c r="B7" s="1" t="s">
        <v>91</v>
      </c>
      <c r="C7" s="1" t="s">
        <v>86</v>
      </c>
      <c r="F7" s="4" t="s">
        <v>110</v>
      </c>
      <c r="H7" t="str">
        <f t="shared" si="0"/>
        <v>INSERT INTO slot(slot_id,day,time_slot) VALUES (6,'Tue','9:00 - 10:30');</v>
      </c>
    </row>
    <row r="8" spans="1:8" x14ac:dyDescent="0.25">
      <c r="A8" s="1">
        <v>7</v>
      </c>
      <c r="B8" s="1" t="s">
        <v>91</v>
      </c>
      <c r="C8" s="1" t="s">
        <v>87</v>
      </c>
      <c r="F8" s="4" t="s">
        <v>110</v>
      </c>
      <c r="H8" t="str">
        <f t="shared" si="0"/>
        <v>INSERT INTO slot(slot_id,day,time_slot) VALUES (7,'Tue','10:30 - 12:00');</v>
      </c>
    </row>
    <row r="9" spans="1:8" x14ac:dyDescent="0.25">
      <c r="A9" s="1">
        <v>8</v>
      </c>
      <c r="B9" s="1" t="s">
        <v>91</v>
      </c>
      <c r="C9" s="1" t="s">
        <v>88</v>
      </c>
      <c r="F9" s="4" t="s">
        <v>110</v>
      </c>
      <c r="H9" t="str">
        <f t="shared" si="0"/>
        <v>INSERT INTO slot(slot_id,day,time_slot) VALUES (8,'Tue','12:00 - 13:30');</v>
      </c>
    </row>
    <row r="10" spans="1:8" x14ac:dyDescent="0.25">
      <c r="A10" s="1">
        <v>9</v>
      </c>
      <c r="B10" s="1" t="s">
        <v>91</v>
      </c>
      <c r="C10" s="1" t="s">
        <v>89</v>
      </c>
      <c r="F10" s="4" t="s">
        <v>110</v>
      </c>
      <c r="H10" t="str">
        <f t="shared" si="0"/>
        <v>INSERT INTO slot(slot_id,day,time_slot) VALUES (9,'Tue','13:30 - 15:00');</v>
      </c>
    </row>
    <row r="11" spans="1:8" x14ac:dyDescent="0.25">
      <c r="A11" s="1">
        <v>10</v>
      </c>
      <c r="B11" s="1" t="s">
        <v>91</v>
      </c>
      <c r="C11" s="1" t="s">
        <v>90</v>
      </c>
      <c r="F11" s="4" t="s">
        <v>110</v>
      </c>
      <c r="H11" t="str">
        <f t="shared" si="0"/>
        <v>INSERT INTO slot(slot_id,day,time_slot) VALUES (10,'Tue','15:00 - 16:30');</v>
      </c>
    </row>
    <row r="12" spans="1:8" x14ac:dyDescent="0.25">
      <c r="A12" s="1">
        <v>11</v>
      </c>
      <c r="B12" s="1" t="s">
        <v>92</v>
      </c>
      <c r="C12" s="1" t="s">
        <v>86</v>
      </c>
      <c r="F12" s="4" t="s">
        <v>110</v>
      </c>
      <c r="H12" t="str">
        <f t="shared" si="0"/>
        <v>INSERT INTO slot(slot_id,day,time_slot) VALUES (11,'Wed','9:00 - 10:30');</v>
      </c>
    </row>
    <row r="13" spans="1:8" x14ac:dyDescent="0.25">
      <c r="A13" s="1">
        <v>12</v>
      </c>
      <c r="B13" s="1" t="s">
        <v>92</v>
      </c>
      <c r="C13" s="1" t="s">
        <v>87</v>
      </c>
      <c r="F13" s="4" t="s">
        <v>110</v>
      </c>
      <c r="H13" t="str">
        <f t="shared" si="0"/>
        <v>INSERT INTO slot(slot_id,day,time_slot) VALUES (12,'Wed','10:30 - 12:00');</v>
      </c>
    </row>
    <row r="14" spans="1:8" x14ac:dyDescent="0.25">
      <c r="A14" s="1">
        <v>13</v>
      </c>
      <c r="B14" s="1" t="s">
        <v>92</v>
      </c>
      <c r="C14" s="1" t="s">
        <v>88</v>
      </c>
      <c r="F14" s="4" t="s">
        <v>110</v>
      </c>
      <c r="H14" t="str">
        <f t="shared" si="0"/>
        <v>INSERT INTO slot(slot_id,day,time_slot) VALUES (13,'Wed','12:00 - 13:30');</v>
      </c>
    </row>
    <row r="15" spans="1:8" x14ac:dyDescent="0.25">
      <c r="A15" s="1">
        <v>14</v>
      </c>
      <c r="B15" s="1" t="s">
        <v>92</v>
      </c>
      <c r="C15" s="1" t="s">
        <v>89</v>
      </c>
      <c r="F15" s="4" t="s">
        <v>110</v>
      </c>
      <c r="H15" t="str">
        <f t="shared" si="0"/>
        <v>INSERT INTO slot(slot_id,day,time_slot) VALUES (14,'Wed','13:30 - 15:00');</v>
      </c>
    </row>
    <row r="16" spans="1:8" x14ac:dyDescent="0.25">
      <c r="A16" s="1">
        <v>15</v>
      </c>
      <c r="B16" s="1" t="s">
        <v>92</v>
      </c>
      <c r="C16" s="1" t="s">
        <v>90</v>
      </c>
      <c r="F16" s="4" t="s">
        <v>110</v>
      </c>
      <c r="H16" t="str">
        <f t="shared" si="0"/>
        <v>INSERT INTO slot(slot_id,day,time_slot) VALUES (15,'Wed','15:00 - 16:30');</v>
      </c>
    </row>
    <row r="17" spans="1:8" x14ac:dyDescent="0.25">
      <c r="A17" s="1">
        <v>16</v>
      </c>
      <c r="B17" s="1" t="s">
        <v>93</v>
      </c>
      <c r="C17" s="1" t="s">
        <v>86</v>
      </c>
      <c r="F17" s="4" t="s">
        <v>110</v>
      </c>
      <c r="H17" t="str">
        <f t="shared" si="0"/>
        <v>INSERT INTO slot(slot_id,day,time_slot) VALUES (16,'Thu','9:00 - 10:30');</v>
      </c>
    </row>
    <row r="18" spans="1:8" x14ac:dyDescent="0.25">
      <c r="A18" s="1">
        <v>17</v>
      </c>
      <c r="B18" s="1" t="s">
        <v>93</v>
      </c>
      <c r="C18" s="1" t="s">
        <v>87</v>
      </c>
      <c r="F18" s="4" t="s">
        <v>110</v>
      </c>
      <c r="H18" t="str">
        <f t="shared" si="0"/>
        <v>INSERT INTO slot(slot_id,day,time_slot) VALUES (17,'Thu','10:30 - 12:00');</v>
      </c>
    </row>
    <row r="19" spans="1:8" x14ac:dyDescent="0.25">
      <c r="A19" s="1">
        <v>18</v>
      </c>
      <c r="B19" s="1" t="s">
        <v>93</v>
      </c>
      <c r="C19" s="1" t="s">
        <v>88</v>
      </c>
      <c r="F19" s="4" t="s">
        <v>110</v>
      </c>
      <c r="H19" t="str">
        <f t="shared" si="0"/>
        <v>INSERT INTO slot(slot_id,day,time_slot) VALUES (18,'Thu','12:00 - 13:30');</v>
      </c>
    </row>
    <row r="20" spans="1:8" x14ac:dyDescent="0.25">
      <c r="A20" s="1">
        <v>19</v>
      </c>
      <c r="B20" s="1" t="s">
        <v>93</v>
      </c>
      <c r="C20" s="1" t="s">
        <v>89</v>
      </c>
      <c r="F20" s="4" t="s">
        <v>110</v>
      </c>
      <c r="H20" t="str">
        <f t="shared" si="0"/>
        <v>INSERT INTO slot(slot_id,day,time_slot) VALUES (19,'Thu','13:30 - 15:00');</v>
      </c>
    </row>
    <row r="21" spans="1:8" ht="15.75" customHeight="1" x14ac:dyDescent="0.25">
      <c r="A21" s="1">
        <v>20</v>
      </c>
      <c r="B21" s="1" t="s">
        <v>93</v>
      </c>
      <c r="C21" s="1" t="s">
        <v>90</v>
      </c>
      <c r="F21" s="4" t="s">
        <v>110</v>
      </c>
      <c r="H21" t="str">
        <f t="shared" si="0"/>
        <v>INSERT INTO slot(slot_id,day,time_slot) VALUES (20,'Thu','15:00 - 16:30');</v>
      </c>
    </row>
    <row r="22" spans="1:8" ht="15.75" customHeight="1" x14ac:dyDescent="0.25">
      <c r="A22" s="1">
        <v>21</v>
      </c>
      <c r="B22" s="1" t="s">
        <v>94</v>
      </c>
      <c r="C22" s="1" t="s">
        <v>86</v>
      </c>
      <c r="F22" s="4" t="s">
        <v>110</v>
      </c>
      <c r="H22" t="str">
        <f t="shared" si="0"/>
        <v>INSERT INTO slot(slot_id,day,time_slot) VALUES (21,'Fri','9:00 - 10:30');</v>
      </c>
    </row>
    <row r="23" spans="1:8" ht="15.75" customHeight="1" x14ac:dyDescent="0.25">
      <c r="A23" s="1">
        <v>22</v>
      </c>
      <c r="B23" s="1" t="s">
        <v>94</v>
      </c>
      <c r="C23" s="1" t="s">
        <v>87</v>
      </c>
      <c r="F23" s="4" t="s">
        <v>110</v>
      </c>
      <c r="H23" t="str">
        <f t="shared" si="0"/>
        <v>INSERT INTO slot(slot_id,day,time_slot) VALUES (22,'Fri','10:30 - 12:00');</v>
      </c>
    </row>
    <row r="24" spans="1:8" ht="15.75" customHeight="1" x14ac:dyDescent="0.25">
      <c r="A24" s="1">
        <v>23</v>
      </c>
      <c r="B24" s="1" t="s">
        <v>94</v>
      </c>
      <c r="C24" s="1" t="s">
        <v>88</v>
      </c>
      <c r="F24" s="4" t="s">
        <v>110</v>
      </c>
      <c r="H24" t="str">
        <f t="shared" si="0"/>
        <v>INSERT INTO slot(slot_id,day,time_slot) VALUES (23,'Fri','12:00 - 13:30');</v>
      </c>
    </row>
    <row r="25" spans="1:8" ht="15.75" customHeight="1" x14ac:dyDescent="0.25">
      <c r="A25" s="1">
        <v>24</v>
      </c>
      <c r="B25" s="1" t="s">
        <v>94</v>
      </c>
      <c r="C25" s="1" t="s">
        <v>89</v>
      </c>
      <c r="F25" s="4" t="s">
        <v>110</v>
      </c>
      <c r="H25" t="str">
        <f t="shared" si="0"/>
        <v>INSERT INTO slot(slot_id,day,time_slot) VALUES (24,'Fri','13:30 - 15:00');</v>
      </c>
    </row>
    <row r="26" spans="1:8" ht="15.75" customHeight="1" x14ac:dyDescent="0.25">
      <c r="A26" s="1">
        <v>25</v>
      </c>
      <c r="B26" s="1" t="s">
        <v>94</v>
      </c>
      <c r="C26" s="1" t="s">
        <v>90</v>
      </c>
      <c r="F26" s="4" t="s">
        <v>110</v>
      </c>
      <c r="H26" t="str">
        <f t="shared" si="0"/>
        <v>INSERT INTO slot(slot_id,day,time_slot) VALUES (25,'Fri','15:00 - 16:30');</v>
      </c>
    </row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tabSelected="1" workbookViewId="0">
      <selection activeCell="S19" sqref="S19"/>
    </sheetView>
  </sheetViews>
  <sheetFormatPr defaultColWidth="12.5703125" defaultRowHeight="15" customHeight="1" x14ac:dyDescent="0.25"/>
  <cols>
    <col min="1" max="1" width="15.140625" bestFit="1" customWidth="1"/>
    <col min="2" max="2" width="9.140625" bestFit="1" customWidth="1"/>
    <col min="3" max="3" width="10.5703125" bestFit="1" customWidth="1"/>
    <col min="4" max="26" width="8.5703125" customWidth="1"/>
  </cols>
  <sheetData>
    <row r="1" spans="1:10" x14ac:dyDescent="0.25">
      <c r="A1" s="2" t="s">
        <v>68</v>
      </c>
      <c r="B1" s="2" t="s">
        <v>69</v>
      </c>
      <c r="C1" s="2" t="s">
        <v>72</v>
      </c>
      <c r="D1" s="2" t="s">
        <v>73</v>
      </c>
      <c r="E1" s="2" t="s">
        <v>82</v>
      </c>
      <c r="F1" s="2" t="s">
        <v>95</v>
      </c>
    </row>
    <row r="2" spans="1:10" x14ac:dyDescent="0.25">
      <c r="A2" s="6" t="s">
        <v>5</v>
      </c>
      <c r="B2" s="1">
        <v>401</v>
      </c>
      <c r="C2" s="1">
        <v>2</v>
      </c>
      <c r="D2" s="1">
        <v>2024</v>
      </c>
      <c r="E2" s="1">
        <v>1</v>
      </c>
      <c r="F2" s="1" t="s">
        <v>96</v>
      </c>
      <c r="H2" s="5" t="s">
        <v>112</v>
      </c>
      <c r="J2" t="str">
        <f>H2&amp;"'"&amp;A2&amp;"','"&amp;B2&amp;"',"&amp;C2&amp;","&amp;D2&amp;","&amp;E2&amp;",'"&amp;F2&amp;"');"</f>
        <v>INSERT INTO slot_section(course_code,section,semester,year,slot_id,room) VALUES('BBA 1002','401',2,2024,1,'SR333');</v>
      </c>
    </row>
    <row r="3" spans="1:10" x14ac:dyDescent="0.25">
      <c r="A3" s="6" t="s">
        <v>5</v>
      </c>
      <c r="B3" s="1">
        <v>401</v>
      </c>
      <c r="C3" s="1">
        <v>2</v>
      </c>
      <c r="D3" s="1">
        <v>2024</v>
      </c>
      <c r="E3" s="1">
        <v>11</v>
      </c>
      <c r="F3" s="1" t="s">
        <v>96</v>
      </c>
      <c r="H3" s="5" t="s">
        <v>112</v>
      </c>
      <c r="J3" t="str">
        <f t="shared" ref="J3:J13" si="0">H3&amp;"'"&amp;A3&amp;"','"&amp;B3&amp;"',"&amp;C3&amp;","&amp;D3&amp;","&amp;E3&amp;",'"&amp;F3&amp;"');"</f>
        <v>INSERT INTO slot_section(course_code,section,semester,year,slot_id,room) VALUES('BBA 1002','401',2,2024,11,'SR333');</v>
      </c>
    </row>
    <row r="4" spans="1:10" x14ac:dyDescent="0.25">
      <c r="A4" s="6" t="s">
        <v>5</v>
      </c>
      <c r="B4" s="1">
        <v>402</v>
      </c>
      <c r="C4" s="1">
        <v>2</v>
      </c>
      <c r="D4" s="1">
        <v>2024</v>
      </c>
      <c r="E4" s="1">
        <v>3</v>
      </c>
      <c r="F4" s="1" t="s">
        <v>96</v>
      </c>
      <c r="H4" s="5" t="s">
        <v>112</v>
      </c>
      <c r="J4" t="str">
        <f t="shared" si="0"/>
        <v>INSERT INTO slot_section(course_code,section,semester,year,slot_id,room) VALUES('BBA 1002','402',2,2024,3,'SR333');</v>
      </c>
    </row>
    <row r="5" spans="1:10" x14ac:dyDescent="0.25">
      <c r="A5" s="6" t="s">
        <v>5</v>
      </c>
      <c r="B5" s="1">
        <v>402</v>
      </c>
      <c r="C5" s="1">
        <v>2</v>
      </c>
      <c r="D5" s="1">
        <v>2024</v>
      </c>
      <c r="E5" s="1">
        <v>13</v>
      </c>
      <c r="F5" s="1" t="s">
        <v>96</v>
      </c>
      <c r="H5" s="5" t="s">
        <v>112</v>
      </c>
      <c r="J5" t="str">
        <f t="shared" si="0"/>
        <v>INSERT INTO slot_section(course_code,section,semester,year,slot_id,room) VALUES('BBA 1002','402',2,2024,13,'SR333');</v>
      </c>
    </row>
    <row r="6" spans="1:10" x14ac:dyDescent="0.25">
      <c r="A6" s="6" t="s">
        <v>5</v>
      </c>
      <c r="B6" s="1">
        <v>403</v>
      </c>
      <c r="C6" s="1">
        <v>2</v>
      </c>
      <c r="D6" s="1">
        <v>2024</v>
      </c>
      <c r="E6" s="1">
        <v>4</v>
      </c>
      <c r="F6" s="1" t="s">
        <v>96</v>
      </c>
      <c r="H6" s="5" t="s">
        <v>112</v>
      </c>
      <c r="J6" t="str">
        <f t="shared" si="0"/>
        <v>INSERT INTO slot_section(course_code,section,semester,year,slot_id,room) VALUES('BBA 1002','403',2,2024,4,'SR333');</v>
      </c>
    </row>
    <row r="7" spans="1:10" x14ac:dyDescent="0.25">
      <c r="A7" s="6" t="s">
        <v>5</v>
      </c>
      <c r="B7" s="1">
        <v>403</v>
      </c>
      <c r="C7" s="1">
        <v>2</v>
      </c>
      <c r="D7" s="1">
        <v>2024</v>
      </c>
      <c r="E7" s="1">
        <v>14</v>
      </c>
      <c r="F7" s="1" t="s">
        <v>96</v>
      </c>
      <c r="H7" s="5" t="s">
        <v>112</v>
      </c>
      <c r="J7" t="str">
        <f t="shared" si="0"/>
        <v>INSERT INTO slot_section(course_code,section,semester,year,slot_id,room) VALUES('BBA 1002','403',2,2024,14,'SR333');</v>
      </c>
    </row>
    <row r="8" spans="1:10" x14ac:dyDescent="0.25">
      <c r="A8" s="6" t="s">
        <v>5</v>
      </c>
      <c r="B8" s="1">
        <v>404</v>
      </c>
      <c r="C8" s="1">
        <v>2</v>
      </c>
      <c r="D8" s="1">
        <v>2024</v>
      </c>
      <c r="E8" s="1">
        <v>6</v>
      </c>
      <c r="F8" s="1" t="s">
        <v>96</v>
      </c>
      <c r="H8" s="5" t="s">
        <v>112</v>
      </c>
      <c r="J8" t="str">
        <f t="shared" si="0"/>
        <v>INSERT INTO slot_section(course_code,section,semester,year,slot_id,room) VALUES('BBA 1002','404',2,2024,6,'SR333');</v>
      </c>
    </row>
    <row r="9" spans="1:10" x14ac:dyDescent="0.25">
      <c r="A9" s="6" t="s">
        <v>5</v>
      </c>
      <c r="B9" s="1">
        <v>404</v>
      </c>
      <c r="C9" s="1">
        <v>2</v>
      </c>
      <c r="D9" s="1">
        <v>2024</v>
      </c>
      <c r="E9" s="1">
        <v>16</v>
      </c>
      <c r="F9" s="1" t="s">
        <v>96</v>
      </c>
      <c r="H9" s="5" t="s">
        <v>112</v>
      </c>
      <c r="J9" t="str">
        <f t="shared" si="0"/>
        <v>INSERT INTO slot_section(course_code,section,semester,year,slot_id,room) VALUES('BBA 1002','404',2,2024,16,'SR333');</v>
      </c>
    </row>
    <row r="10" spans="1:10" x14ac:dyDescent="0.25">
      <c r="A10" s="6" t="s">
        <v>5</v>
      </c>
      <c r="B10" s="1">
        <v>405</v>
      </c>
      <c r="C10" s="1">
        <v>2</v>
      </c>
      <c r="D10" s="1">
        <v>2024</v>
      </c>
      <c r="E10" s="1">
        <v>13</v>
      </c>
      <c r="F10" s="1" t="s">
        <v>97</v>
      </c>
      <c r="H10" s="5" t="s">
        <v>112</v>
      </c>
      <c r="J10" t="str">
        <f t="shared" si="0"/>
        <v>INSERT INTO slot_section(course_code,section,semester,year,slot_id,room) VALUES('BBA 1002','405',2,2024,13,'SM206');</v>
      </c>
    </row>
    <row r="11" spans="1:10" x14ac:dyDescent="0.25">
      <c r="A11" s="6" t="s">
        <v>5</v>
      </c>
      <c r="B11" s="1">
        <v>405</v>
      </c>
      <c r="C11" s="1">
        <v>2</v>
      </c>
      <c r="D11" s="1">
        <v>2024</v>
      </c>
      <c r="E11" s="1">
        <v>23</v>
      </c>
      <c r="F11" s="1" t="s">
        <v>97</v>
      </c>
      <c r="H11" s="5" t="s">
        <v>112</v>
      </c>
      <c r="J11" t="str">
        <f t="shared" si="0"/>
        <v>INSERT INTO slot_section(course_code,section,semester,year,slot_id,room) VALUES('BBA 1002','405',2,2024,23,'SM206');</v>
      </c>
    </row>
    <row r="12" spans="1:10" x14ac:dyDescent="0.25">
      <c r="A12" s="6" t="s">
        <v>5</v>
      </c>
      <c r="B12" s="1">
        <v>406</v>
      </c>
      <c r="C12" s="1">
        <v>2</v>
      </c>
      <c r="D12" s="1">
        <v>2024</v>
      </c>
      <c r="E12" s="1">
        <v>12</v>
      </c>
      <c r="F12" s="1" t="s">
        <v>97</v>
      </c>
      <c r="H12" s="5" t="s">
        <v>112</v>
      </c>
      <c r="J12" t="str">
        <f t="shared" si="0"/>
        <v>INSERT INTO slot_section(course_code,section,semester,year,slot_id,room) VALUES('BBA 1002','406',2,2024,12,'SM206');</v>
      </c>
    </row>
    <row r="13" spans="1:10" x14ac:dyDescent="0.25">
      <c r="A13" s="6" t="s">
        <v>5</v>
      </c>
      <c r="B13" s="1">
        <v>406</v>
      </c>
      <c r="C13" s="1">
        <v>2</v>
      </c>
      <c r="D13" s="1">
        <v>2024</v>
      </c>
      <c r="E13" s="1">
        <v>17</v>
      </c>
      <c r="F13" s="1" t="s">
        <v>97</v>
      </c>
      <c r="H13" s="5" t="s">
        <v>112</v>
      </c>
      <c r="J13" t="str">
        <f t="shared" si="0"/>
        <v>INSERT INTO slot_section(course_code,section,semester,year,slot_id,room) VALUES('BBA 1002','406',2,2024,17,'SM206');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selection activeCell="G2" sqref="G2:G5"/>
    </sheetView>
  </sheetViews>
  <sheetFormatPr defaultColWidth="12.5703125" defaultRowHeight="15" customHeight="1" x14ac:dyDescent="0.25"/>
  <cols>
    <col min="1" max="1" width="11.7109375" bestFit="1" customWidth="1"/>
    <col min="2" max="26" width="8.5703125" customWidth="1"/>
  </cols>
  <sheetData>
    <row r="1" spans="1:7" ht="15" customHeight="1" x14ac:dyDescent="0.25">
      <c r="A1" s="4" t="s">
        <v>100</v>
      </c>
      <c r="B1" s="4" t="s">
        <v>74</v>
      </c>
      <c r="C1" s="4" t="s">
        <v>75</v>
      </c>
    </row>
    <row r="2" spans="1:7" ht="15" customHeight="1" x14ac:dyDescent="0.25">
      <c r="A2">
        <v>6610001</v>
      </c>
      <c r="B2" s="4" t="s">
        <v>101</v>
      </c>
      <c r="C2" s="4" t="s">
        <v>102</v>
      </c>
      <c r="E2" s="4" t="s">
        <v>111</v>
      </c>
      <c r="G2" t="str">
        <f>E2&amp;"'"&amp;A2&amp;"','"&amp;B2&amp;"','"&amp;C2&amp;"');"</f>
        <v>INSERT INTO student(student_id,fname, lname) VALUES ('6610001','A','BB');</v>
      </c>
    </row>
    <row r="3" spans="1:7" ht="15" customHeight="1" x14ac:dyDescent="0.25">
      <c r="A3">
        <v>6610002</v>
      </c>
      <c r="B3" s="4" t="s">
        <v>103</v>
      </c>
      <c r="C3" s="4" t="s">
        <v>104</v>
      </c>
      <c r="E3" s="4" t="s">
        <v>111</v>
      </c>
      <c r="G3" t="str">
        <f t="shared" ref="G3:G5" si="0">E3&amp;"'"&amp;A3&amp;"','"&amp;B3&amp;"','"&amp;C3&amp;"');"</f>
        <v>INSERT INTO student(student_id,fname, lname) VALUES ('6610002','B','CC');</v>
      </c>
    </row>
    <row r="4" spans="1:7" ht="15" customHeight="1" x14ac:dyDescent="0.25">
      <c r="A4">
        <v>6610003</v>
      </c>
      <c r="B4" s="4" t="s">
        <v>105</v>
      </c>
      <c r="C4" s="4" t="s">
        <v>107</v>
      </c>
      <c r="E4" s="4" t="s">
        <v>111</v>
      </c>
      <c r="G4" t="str">
        <f t="shared" si="0"/>
        <v>INSERT INTO student(student_id,fname, lname) VALUES ('6610003','C','DD');</v>
      </c>
    </row>
    <row r="5" spans="1:7" ht="15" customHeight="1" x14ac:dyDescent="0.25">
      <c r="A5">
        <v>6610004</v>
      </c>
      <c r="B5" s="4" t="s">
        <v>106</v>
      </c>
      <c r="C5" s="4" t="s">
        <v>108</v>
      </c>
      <c r="E5" s="4" t="s">
        <v>111</v>
      </c>
      <c r="G5" t="str">
        <f t="shared" si="0"/>
        <v>INSERT INTO student(student_id,fname, lname) VALUES ('6610004','D','EE');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</vt:lpstr>
      <vt:lpstr>Section</vt:lpstr>
      <vt:lpstr>Teacher</vt:lpstr>
      <vt:lpstr>Slot</vt:lpstr>
      <vt:lpstr>Slot-Section</vt:lpstr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DHIRACHAT CHAYAPORN</dc:creator>
  <cp:lastModifiedBy>DHIRACHAT CHAYAPORN</cp:lastModifiedBy>
  <dcterms:created xsi:type="dcterms:W3CDTF">2025-01-28T15:36:37Z</dcterms:created>
  <dcterms:modified xsi:type="dcterms:W3CDTF">2025-02-09T16:45:25Z</dcterms:modified>
</cp:coreProperties>
</file>